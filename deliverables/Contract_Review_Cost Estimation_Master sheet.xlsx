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avaahan_apps\Codebasics\contract_legal_risk_analyzer\deliverables\"/>
    </mc:Choice>
  </mc:AlternateContent>
  <xr:revisionPtr revIDLastSave="0" documentId="8_{49FA6351-B640-43DE-BD66-24BC131EA951}" xr6:coauthVersionLast="47" xr6:coauthVersionMax="47" xr10:uidLastSave="{00000000-0000-0000-0000-000000000000}"/>
  <bookViews>
    <workbookView xWindow="28680" yWindow="30" windowWidth="29040" windowHeight="15720" activeTab="2" xr2:uid="{81A84833-EF49-814B-9ADB-D4C1CBEE4BC4}"/>
  </bookViews>
  <sheets>
    <sheet name="Inference" sheetId="1" r:id="rId1"/>
    <sheet name="Embeddings" sheetId="2" r:id="rId2"/>
    <sheet name="Cost Saving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3" l="1"/>
  <c r="I33" i="3"/>
  <c r="I32" i="3"/>
  <c r="E32" i="3"/>
  <c r="I26" i="3"/>
  <c r="E26" i="3"/>
  <c r="I24" i="3"/>
  <c r="E24" i="3"/>
  <c r="E10" i="3"/>
  <c r="E17" i="3" s="1"/>
  <c r="E19" i="3" s="1"/>
  <c r="K9" i="1"/>
  <c r="K10" i="1"/>
  <c r="K11" i="1"/>
  <c r="J9" i="1"/>
  <c r="J10" i="1"/>
  <c r="J11" i="1"/>
  <c r="I9" i="1"/>
  <c r="I10" i="1"/>
  <c r="I11" i="1"/>
  <c r="H9" i="1"/>
  <c r="H10" i="1"/>
  <c r="H11" i="1"/>
  <c r="D24" i="2"/>
  <c r="D26" i="2" s="1"/>
  <c r="J9" i="2"/>
  <c r="J10" i="2" s="1"/>
  <c r="G9" i="2"/>
  <c r="G10" i="2" s="1"/>
  <c r="D9" i="2"/>
  <c r="D10" i="2" s="1"/>
  <c r="I7" i="1"/>
  <c r="I8" i="1"/>
  <c r="H7" i="1"/>
  <c r="H8" i="1"/>
  <c r="I6" i="1"/>
  <c r="H6" i="1"/>
  <c r="C16" i="1"/>
  <c r="C11" i="1"/>
  <c r="I29" i="3" l="1"/>
  <c r="E29" i="3"/>
  <c r="E33" i="3" s="1"/>
  <c r="E34" i="3"/>
  <c r="J7" i="1"/>
  <c r="K7" i="1" s="1"/>
  <c r="J8" i="1"/>
  <c r="K8" i="1" s="1"/>
  <c r="D15" i="2"/>
  <c r="D17" i="2" s="1"/>
  <c r="D29" i="2" s="1"/>
  <c r="J6" i="1"/>
  <c r="K6" i="1" s="1"/>
  <c r="C13" i="1"/>
</calcChain>
</file>

<file path=xl/sharedStrings.xml><?xml version="1.0" encoding="utf-8"?>
<sst xmlns="http://schemas.openxmlformats.org/spreadsheetml/2006/main" count="120" uniqueCount="92">
  <si>
    <t>Base Calculation</t>
  </si>
  <si>
    <t>Model Selection + Cost Estimation</t>
  </si>
  <si>
    <t>Description</t>
  </si>
  <si>
    <t>Quantity</t>
  </si>
  <si>
    <t>Model Name</t>
  </si>
  <si>
    <t>Input cost($) per 1M token</t>
  </si>
  <si>
    <t>Output cost($) per 1M token</t>
  </si>
  <si>
    <t>Cost per input Query($)</t>
  </si>
  <si>
    <t>Cost per output query Query($)</t>
  </si>
  <si>
    <t>Total Cost per query</t>
  </si>
  <si>
    <t>Total cost per month</t>
  </si>
  <si>
    <t>gpt-6-astra</t>
  </si>
  <si>
    <t>gpt-5.6-sol</t>
  </si>
  <si>
    <t>gpt-5.6-terra</t>
  </si>
  <si>
    <t>Total Token per query</t>
  </si>
  <si>
    <t>Total monthly volume of queries</t>
  </si>
  <si>
    <t>Token/word</t>
  </si>
  <si>
    <t>Component</t>
  </si>
  <si>
    <t>Total number of words</t>
  </si>
  <si>
    <t>Total Tokens</t>
  </si>
  <si>
    <t>Total tokens</t>
  </si>
  <si>
    <t>Cost/Quantity</t>
  </si>
  <si>
    <t>Total tokens for RAG</t>
  </si>
  <si>
    <t>Cost per 1M token</t>
  </si>
  <si>
    <t>Total cost for RAG</t>
  </si>
  <si>
    <t>Token tokens per month</t>
  </si>
  <si>
    <t>Total cost for user query embeddings</t>
  </si>
  <si>
    <t>Total cost of Embeddings</t>
  </si>
  <si>
    <t>Cost</t>
  </si>
  <si>
    <t>Total RAG Chatbot Agent</t>
  </si>
  <si>
    <t>Total Savings</t>
  </si>
  <si>
    <t>% Savings</t>
  </si>
  <si>
    <t>System prompts + instructions (5 AI calls)</t>
  </si>
  <si>
    <t>Contract text, masked (sent to Extract + Full read)</t>
  </si>
  <si>
    <t>Reference data (register candidates, baseline, past positions)</t>
  </si>
  <si>
    <t>Linked bundle documents (BAA/DPA/subcontract; avg share of reviews)</t>
  </si>
  <si>
    <t>Earlier step outputs reused as input (extract JSON etc.)</t>
  </si>
  <si>
    <t>Total input tokens per review</t>
  </si>
  <si>
    <t>Total Output tokens per review</t>
  </si>
  <si>
    <t>Documents reviewed per month (3–4 contracts + 4–5 NDAs)</t>
  </si>
  <si>
    <t>Review rounds per document (full re-review of every version)</t>
  </si>
  <si>
    <t>claude-opus-5-5</t>
  </si>
  <si>
    <t>claude-sonnet-5-5</t>
  </si>
  <si>
    <t>claude-fable-5-1</t>
  </si>
  <si>
    <t>Assumptions behind the token counts</t>
  </si>
  <si>
    <t>Pages per contract (base case)</t>
  </si>
  <si>
    <t>Words per page</t>
  </si>
  <si>
    <t>Tokens per word</t>
  </si>
  <si>
    <t>Words per contract</t>
  </si>
  <si>
    <t>Tokens per contract (masked text)</t>
  </si>
  <si>
    <t>Times the contract is sent to the model (Extract + Full read)</t>
  </si>
  <si>
    <t>AI calls per review (Extract, Clash, Full read, Bundle, Summary)</t>
  </si>
  <si>
    <t>System prompt + instructions per call (tokens)</t>
  </si>
  <si>
    <t>Reference data per review (tokens)</t>
  </si>
  <si>
    <t>Share of reviews with a linked bundle document</t>
  </si>
  <si>
    <t>Earlier step outputs reused as input (tokens)</t>
  </si>
  <si>
    <t>Output tokens per review</t>
  </si>
  <si>
    <t>value</t>
  </si>
  <si>
    <t>Number of signed contracts</t>
  </si>
  <si>
    <t>Number of words per contract</t>
  </si>
  <si>
    <t>Signed Contracts</t>
  </si>
  <si>
    <t>Negotiation &amp; meeting notes</t>
  </si>
  <si>
    <t>Incoming drafts per year</t>
  </si>
  <si>
    <t>Number of notes</t>
  </si>
  <si>
    <t>Number of words per note</t>
  </si>
  <si>
    <t>Drafts per year (9 a month)</t>
  </si>
  <si>
    <t>Number of words per draft</t>
  </si>
  <si>
    <t>Query embeddings (search queries)</t>
  </si>
  <si>
    <t>Tokens per search query</t>
  </si>
  <si>
    <t>Search queries per month in MVP</t>
  </si>
  <si>
    <t>One-off embedding of the corpus (hypothetical)</t>
  </si>
  <si>
    <t>CEO review time today (per month)</t>
  </si>
  <si>
    <t>Standard Hours per review</t>
  </si>
  <si>
    <t>Hours Per later review ( revised draft)</t>
  </si>
  <si>
    <t>Review Rounds per document</t>
  </si>
  <si>
    <t>Hours Per Document(first round + second round)</t>
  </si>
  <si>
    <t>Document per month</t>
  </si>
  <si>
    <t>CEO Review hours per month</t>
  </si>
  <si>
    <t>Total monthly cost of Manual Review</t>
  </si>
  <si>
    <t>CEO time value per hour (USD, assumption)</t>
  </si>
  <si>
    <t>Outside counsel per month (₹1.2 lakh ≈ $1,440 per escalation, ~1 per quarter)</t>
  </si>
  <si>
    <t>CEO review time cost per month</t>
  </si>
  <si>
    <t>Total monthly cost of manual review (approx includes councel)</t>
  </si>
  <si>
    <t>Monthly cost with AtliQ Review</t>
  </si>
  <si>
    <t>Embeddings (not used in MVP)</t>
  </si>
  <si>
    <t>CEO time still needed (reads the report; hours below × reviews × rate)</t>
  </si>
  <si>
    <t>CEO hours per review with the tool (assumption; target ≤ 0.5 h)</t>
  </si>
  <si>
    <t>Outside counsel — escalations only for serious clashes / Not sure (assume half)</t>
  </si>
  <si>
    <t>CEO hours freed per month</t>
  </si>
  <si>
    <t>AI inference — claude-sonnet-5-5</t>
  </si>
  <si>
    <t>AI inference — claude-opus-5-5</t>
  </si>
  <si>
    <t>Monthly cost with AtliQ Review (lowest price per inference)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</si>
</sst>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₹&quot;* #,##0.00_);_(&quot;₹&quot;* \(#,##0.00\);_(&quot;₹&quot;* &quot;-&quot;??_);_(@_)"/>
    <numFmt numFmtId="165" formatCode="[$$-409]#,##0.00"/>
    <numFmt numFmtId="166" formatCode="_([$$-409]* #,##0.00_);_([$$-409]* \(#,##0.00\);_([$$-409]* &quot;-&quot;??_);_(@_)"/>
    <numFmt numFmtId="173" formatCode="_(\₹* #,##0.00_);_(\₹* \(#,##0.00\);_(\₹* \-??_);_(@_)"/>
  </numFmts>
  <fonts count="8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4"/>
      <color theme="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87182226020086"/>
        <bgColor rgb="FFBFBFBF"/>
      </patternFill>
    </fill>
    <fill>
      <patternFill patternType="solid">
        <fgColor theme="4" tint="-0.249977111117893"/>
        <bgColor rgb="FF4472C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4"/>
      </top>
      <bottom/>
      <diagonal/>
    </border>
    <border>
      <left/>
      <right style="medium">
        <color indexed="64"/>
      </right>
      <top style="thin">
        <color theme="4"/>
      </top>
      <bottom/>
      <diagonal/>
    </border>
    <border>
      <left style="medium">
        <color indexed="64"/>
      </left>
      <right/>
      <top style="thin">
        <color theme="4"/>
      </top>
      <bottom style="medium">
        <color indexed="64"/>
      </bottom>
      <diagonal/>
    </border>
    <border>
      <left style="thin">
        <color theme="4"/>
      </left>
      <right style="medium">
        <color indexed="64"/>
      </right>
      <top style="thin">
        <color theme="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5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173" fontId="5" fillId="0" borderId="0"/>
  </cellStyleXfs>
  <cellXfs count="7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wrapText="1"/>
    </xf>
    <xf numFmtId="0" fontId="1" fillId="2" borderId="10" xfId="0" applyFont="1" applyFill="1" applyBorder="1" applyAlignment="1">
      <alignment horizontal="center" vertical="center"/>
    </xf>
    <xf numFmtId="165" fontId="1" fillId="2" borderId="11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0" xfId="0" applyFont="1" applyFill="1" applyBorder="1" applyAlignment="1">
      <alignment vertical="center"/>
    </xf>
    <xf numFmtId="0" fontId="2" fillId="3" borderId="13" xfId="0" applyFont="1" applyFill="1" applyBorder="1" applyAlignment="1">
      <alignment horizontal="center" vertical="center"/>
    </xf>
    <xf numFmtId="165" fontId="2" fillId="3" borderId="14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6" fontId="2" fillId="4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6" fontId="0" fillId="0" borderId="25" xfId="0" applyNumberFormat="1" applyBorder="1"/>
    <xf numFmtId="166" fontId="0" fillId="0" borderId="28" xfId="0" applyNumberFormat="1" applyBorder="1"/>
    <xf numFmtId="166" fontId="0" fillId="0" borderId="25" xfId="1" applyNumberFormat="1" applyFont="1" applyBorder="1" applyAlignment="1">
      <alignment horizontal="center" vertical="center"/>
    </xf>
    <xf numFmtId="166" fontId="0" fillId="0" borderId="25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66" fontId="0" fillId="0" borderId="28" xfId="0" applyNumberForma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5" fillId="0" borderId="18" xfId="3" applyBorder="1" applyAlignment="1">
      <alignment vertical="center" wrapText="1"/>
    </xf>
    <xf numFmtId="3" fontId="0" fillId="0" borderId="12" xfId="0" applyNumberFormat="1" applyBorder="1" applyAlignment="1">
      <alignment horizontal="center" vertical="center"/>
    </xf>
    <xf numFmtId="0" fontId="5" fillId="0" borderId="18" xfId="3" applyBorder="1" applyAlignment="1">
      <alignment vertical="center" wrapText="1"/>
    </xf>
    <xf numFmtId="0" fontId="5" fillId="0" borderId="18" xfId="3" applyBorder="1" applyAlignment="1">
      <alignment vertical="center" wrapText="1"/>
    </xf>
    <xf numFmtId="0" fontId="5" fillId="0" borderId="18" xfId="3" applyBorder="1" applyAlignment="1">
      <alignment vertical="center" wrapText="1"/>
    </xf>
    <xf numFmtId="0" fontId="5" fillId="0" borderId="18" xfId="3" applyBorder="1" applyAlignment="1">
      <alignment vertical="center" wrapText="1"/>
    </xf>
    <xf numFmtId="3" fontId="5" fillId="0" borderId="12" xfId="3" applyNumberFormat="1" applyBorder="1" applyAlignment="1">
      <alignment horizontal="center" vertical="center"/>
    </xf>
    <xf numFmtId="0" fontId="5" fillId="0" borderId="18" xfId="3" applyBorder="1" applyAlignment="1">
      <alignment vertical="center" wrapText="1"/>
    </xf>
    <xf numFmtId="0" fontId="5" fillId="0" borderId="18" xfId="3" applyBorder="1" applyAlignment="1">
      <alignment vertical="center" wrapText="1"/>
    </xf>
    <xf numFmtId="0" fontId="0" fillId="0" borderId="18" xfId="0" applyBorder="1" applyAlignment="1">
      <alignment vertical="top" wrapText="1"/>
    </xf>
    <xf numFmtId="0" fontId="0" fillId="0" borderId="18" xfId="0" applyBorder="1" applyAlignment="1">
      <alignment horizontal="center" vertical="center" wrapText="1"/>
    </xf>
    <xf numFmtId="9" fontId="0" fillId="0" borderId="18" xfId="0" applyNumberForma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6" fillId="5" borderId="32" xfId="0" applyFont="1" applyFill="1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7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1" fontId="2" fillId="4" borderId="1" xfId="2" applyNumberFormat="1" applyFont="1" applyFill="1" applyBorder="1" applyAlignment="1">
      <alignment horizontal="center" vertical="center"/>
    </xf>
    <xf numFmtId="0" fontId="0" fillId="0" borderId="25" xfId="0" applyNumberFormat="1" applyBorder="1" applyAlignment="1">
      <alignment horizontal="right"/>
    </xf>
  </cellXfs>
  <cellStyles count="5">
    <cellStyle name="Currency" xfId="1" builtinId="4"/>
    <cellStyle name="Currency 2" xfId="4" xr:uid="{78F882E4-361E-428D-B3BE-6A74EABD52FC}"/>
    <cellStyle name="Normal" xfId="0" builtinId="0"/>
    <cellStyle name="Normal 2" xfId="3" xr:uid="{6063B20D-2596-4EAB-8376-4CD3CCBB1E89}"/>
    <cellStyle name="Per cent" xfId="2" builtinId="5"/>
  </cellStyles>
  <dxfs count="56">
    <dxf>
      <numFmt numFmtId="166" formatCode="_([$$-409]* #,##0.00_);_([$$-409]* \(#,##0.00\);_([$$-409]* &quot;-&quot;??_);_(@_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6" formatCode="_([$$-409]* #,##0.00_);_([$$-409]* \(#,##0.00\);_([$$-409]* &quot;-&quot;??_);_(@_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</dxf>
    <dxf>
      <numFmt numFmtId="165" formatCode="[$$-409]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5660C3-7A5D-144E-B55E-E4185CDEC4D9}" name="Table1" displayName="Table1" ref="B5:C16" totalsRowShown="0" headerRowDxfId="11">
  <autoFilter ref="B5:C16" xr:uid="{6E5660C3-7A5D-144E-B55E-E4185CDEC4D9}"/>
  <tableColumns count="2">
    <tableColumn id="1" xr3:uid="{727237FA-BC4D-9F46-8ADE-ED9092670878}" name="Description" dataDxfId="10"/>
    <tableColumn id="2" xr3:uid="{0593A699-22EA-0248-930A-E73441604BBC}" name="Quantity" dataDxfId="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A436B0-E934-044D-BD4B-BA7AC864344E}" name="Table2" displayName="Table2" ref="E5:K11" totalsRowShown="0" headerRowDxfId="55" headerRowBorderDxfId="54" tableBorderDxfId="53" totalsRowBorderDxfId="52">
  <autoFilter ref="E5:K11" xr:uid="{9FA436B0-E934-044D-BD4B-BA7AC864344E}"/>
  <tableColumns count="7">
    <tableColumn id="1" xr3:uid="{E94216F8-5EB6-EC47-81E8-37CA23E140A7}" name="Model Name" dataDxfId="51"/>
    <tableColumn id="2" xr3:uid="{83547E58-7672-604D-A32B-5167C4F20A2E}" name="Input cost($) per 1M token" dataDxfId="50"/>
    <tableColumn id="3" xr3:uid="{A6CF9F4C-BE96-0949-87E6-B07F6AABD34D}" name="Output cost($) per 1M token" dataDxfId="49"/>
    <tableColumn id="4" xr3:uid="{475DDE62-281B-354B-BA4E-94241D7E1436}" name="Cost per input Query($)" dataDxfId="48">
      <calculatedColumnFormula>F6*$C$11/1000000</calculatedColumnFormula>
    </tableColumn>
    <tableColumn id="5" xr3:uid="{6BE0031B-E84A-AB4B-91D5-9C60117E572D}" name="Cost per output query Query($)" dataDxfId="47">
      <calculatedColumnFormula>G6*$C$12/1000000</calculatedColumnFormula>
    </tableColumn>
    <tableColumn id="6" xr3:uid="{5B9E22A9-D91C-264B-97BD-B60C34FE910E}" name="Total Cost per query" dataDxfId="46">
      <calculatedColumnFormula>H6+I6</calculatedColumnFormula>
    </tableColumn>
    <tableColumn id="7" xr3:uid="{E4FCEC60-5782-A24E-9EDB-E74A6FB2A8E6}" name="Total cost per month" dataDxfId="45">
      <calculatedColumnFormula>Table2[[#This Row],[Total Cost per query]]*$C$16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8F7C75C-76F9-499E-89AE-539B78673A96}" name="Table112" displayName="Table112" ref="B22:C34" totalsRowShown="0" headerRowDxfId="12">
  <autoFilter ref="B22:C34" xr:uid="{C8F7C75C-76F9-499E-89AE-539B78673A96}"/>
  <tableColumns count="2">
    <tableColumn id="1" xr3:uid="{0407849D-D57C-44AF-B7C6-3528FF5B9BF6}" name="Description" dataDxfId="8"/>
    <tableColumn id="2" xr3:uid="{3988DFD1-3BF1-4D3E-8DCC-23BDFD97FBB1}" name="value" dataDxfId="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149783-4593-7641-8027-E34AC9EC5C67}" name="Table3" displayName="Table3" ref="C6:D10" totalsRowShown="0" headerRowDxfId="44" dataDxfId="43">
  <autoFilter ref="C6:D10" xr:uid="{7D149783-4593-7641-8027-E34AC9EC5C67}"/>
  <tableColumns count="2">
    <tableColumn id="1" xr3:uid="{66487A0E-FD9A-2540-B540-3FA1009E5030}" name="Component" dataDxfId="42"/>
    <tableColumn id="2" xr3:uid="{24BE4C20-FB60-944A-9CF9-E38EFCAFBFFD}" name="Quantity" dataDxfId="41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A5D9C1-05DC-904C-B9B7-078391840090}" name="Table4" displayName="Table4" ref="F6:G10" totalsRowShown="0" headerRowDxfId="40" dataDxfId="39">
  <autoFilter ref="F6:G10" xr:uid="{0DA5D9C1-05DC-904C-B9B7-078391840090}"/>
  <tableColumns count="2">
    <tableColumn id="1" xr3:uid="{FA7C3134-BE9C-7446-B27B-2B4D281CD4C3}" name="Component" dataDxfId="38"/>
    <tableColumn id="2" xr3:uid="{25C099DE-4851-5044-B17D-36328CE66598}" name="Quantity" dataDxfId="37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B9B987-48C6-884C-8691-47C0F8614466}" name="Table5" displayName="Table5" ref="I6:J10" totalsRowShown="0" headerRowDxfId="36">
  <autoFilter ref="I6:J10" xr:uid="{E1B9B987-48C6-884C-8691-47C0F8614466}"/>
  <tableColumns count="2">
    <tableColumn id="1" xr3:uid="{637E4E07-C4CD-5D4F-9DB2-77F31846D154}" name="Component"/>
    <tableColumn id="2" xr3:uid="{270E1BE1-AB85-BA48-A839-02F3C49F592B}" name="Quantity" dataDxfId="35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21DEDF-F1B7-DC44-853F-A0BE0275C76A}" name="Table6" displayName="Table6" ref="C14:D17" totalsRowShown="0" headerRowDxfId="34" tableBorderDxfId="33">
  <autoFilter ref="C14:D17" xr:uid="{1421DEDF-F1B7-DC44-853F-A0BE0275C76A}"/>
  <tableColumns count="2">
    <tableColumn id="1" xr3:uid="{E94B2DA1-5D66-6B4F-8872-9B742ECF5935}" name="Component"/>
    <tableColumn id="2" xr3:uid="{C5D23930-72B4-5546-870C-6D91500EE6EC}" name="Cost/Quantity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6A6151-2944-C14E-851C-8E07FB2522FD}" name="Table7" displayName="Table7" ref="C21:D26" totalsRowShown="0" headerRowDxfId="32" dataDxfId="31">
  <autoFilter ref="C21:D26" xr:uid="{D56A6151-2944-C14E-851C-8E07FB2522FD}"/>
  <tableColumns count="2">
    <tableColumn id="1" xr3:uid="{862A8D74-8607-684C-9682-43F4960DA550}" name="Component" dataDxfId="30"/>
    <tableColumn id="2" xr3:uid="{4EB4268D-BD6E-8748-9A0C-4E0236B52670}" name="Cost/Quantity" dataDxfId="29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17D8A10-DBC1-9D4F-9FE0-D76E3D8D385E}" name="Table8" displayName="Table8" ref="D4:E10" totalsRowShown="0" headerRowDxfId="28" dataDxfId="27">
  <autoFilter ref="D4:E10" xr:uid="{317D8A10-DBC1-9D4F-9FE0-D76E3D8D385E}"/>
  <tableColumns count="2">
    <tableColumn id="1" xr3:uid="{7D64B7F8-890E-4442-96EB-4B5B298D7A6E}" name="Component" dataDxfId="26"/>
    <tableColumn id="2" xr3:uid="{30389DF7-597A-894D-8CAB-775D96E2DF40}" name="Quantity" dataDxfId="25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58F642C-45A2-5E4D-97F3-60AE5C4C8721}" name="Table9" displayName="Table9" ref="D14:E17" totalsRowShown="0" headerRowDxfId="24" dataDxfId="22" headerRowBorderDxfId="23" tableBorderDxfId="21" totalsRowBorderDxfId="20">
  <autoFilter ref="D14:E17" xr:uid="{258F642C-45A2-5E4D-97F3-60AE5C4C8721}"/>
  <tableColumns count="2">
    <tableColumn id="1" xr3:uid="{AF872F90-5E23-474E-A330-AC494E0FEA8E}" name="Component" dataDxfId="6"/>
    <tableColumn id="2" xr3:uid="{6DA4ED62-FF2A-0645-AF8B-58840A36F844}" name="Cost" dataDxfId="19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90442C4-32F7-274B-897E-0AB69F7DCD99}" name="Table10" displayName="Table10" ref="D23:E28" totalsRowShown="0" headerRowDxfId="18" headerRowBorderDxfId="17" tableBorderDxfId="16" totalsRowBorderDxfId="15">
  <autoFilter ref="D23:E28" xr:uid="{A90442C4-32F7-274B-897E-0AB69F7DCD99}"/>
  <tableColumns count="2">
    <tableColumn id="1" xr3:uid="{5AD28BD1-85A1-8E42-A3C0-B3B9BB6A2289}" name="Component" dataDxfId="14"/>
    <tableColumn id="2" xr3:uid="{B84FEAB4-E266-6646-8A69-C2A4A0F80D26}" name="Cost" dataDxfId="13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2270EBD-0348-48A4-AF4A-0BFFB3883D02}" name="Table1015" displayName="Table1015" ref="H23:I28" totalsRowShown="0" headerRowDxfId="5" headerRowBorderDxfId="3" tableBorderDxfId="4" totalsRowBorderDxfId="2">
  <autoFilter ref="H23:I28" xr:uid="{02270EBD-0348-48A4-AF4A-0BFFB3883D02}"/>
  <tableColumns count="2">
    <tableColumn id="1" xr3:uid="{831CF4E4-504E-4DF0-A427-1F4DEAF84485}" name="Component" dataDxfId="1"/>
    <tableColumn id="2" xr3:uid="{DD3A641A-238F-415B-8E06-1BA65A8A3106}" name="Cos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E54D-BF6D-B043-BCCA-A0F69A5644CE}">
  <dimension ref="B3:M34"/>
  <sheetViews>
    <sheetView zoomScaleNormal="100" workbookViewId="0">
      <selection activeCell="K10" sqref="K10"/>
    </sheetView>
  </sheetViews>
  <sheetFormatPr defaultColWidth="11.19921875" defaultRowHeight="18.75" x14ac:dyDescent="0.3"/>
  <cols>
    <col min="2" max="2" width="29.09765625" customWidth="1"/>
    <col min="3" max="3" width="26.09765625" customWidth="1"/>
    <col min="5" max="5" width="16" customWidth="1"/>
    <col min="6" max="6" width="18.69921875" customWidth="1"/>
    <col min="7" max="7" width="20.296875" customWidth="1"/>
    <col min="8" max="9" width="19" customWidth="1"/>
    <col min="10" max="10" width="12.59765625" customWidth="1"/>
    <col min="11" max="11" width="18.296875" customWidth="1"/>
  </cols>
  <sheetData>
    <row r="3" spans="2:13" ht="19.5" thickBot="1" x14ac:dyDescent="0.35"/>
    <row r="4" spans="2:13" ht="18.95" customHeight="1" x14ac:dyDescent="0.3">
      <c r="B4" s="45" t="s">
        <v>0</v>
      </c>
      <c r="C4" s="46"/>
      <c r="E4" s="47" t="s">
        <v>1</v>
      </c>
      <c r="F4" s="48"/>
      <c r="G4" s="48"/>
      <c r="H4" s="48"/>
      <c r="I4" s="48"/>
      <c r="J4" s="48"/>
      <c r="K4" s="49"/>
    </row>
    <row r="5" spans="2:13" ht="37.5" x14ac:dyDescent="0.3">
      <c r="B5" s="23" t="s">
        <v>2</v>
      </c>
      <c r="C5" s="15" t="s">
        <v>3</v>
      </c>
      <c r="E5" s="28" t="s">
        <v>4</v>
      </c>
      <c r="F5" s="29" t="s">
        <v>5</v>
      </c>
      <c r="G5" s="29" t="s">
        <v>6</v>
      </c>
      <c r="H5" s="29" t="s">
        <v>7</v>
      </c>
      <c r="I5" s="29" t="s">
        <v>8</v>
      </c>
      <c r="J5" s="29" t="s">
        <v>9</v>
      </c>
      <c r="K5" s="30" t="s">
        <v>10</v>
      </c>
    </row>
    <row r="6" spans="2:13" ht="37.5" x14ac:dyDescent="0.3">
      <c r="B6" s="55" t="s">
        <v>32</v>
      </c>
      <c r="C6" s="61">
        <v>6000</v>
      </c>
      <c r="E6" s="31" t="s">
        <v>11</v>
      </c>
      <c r="F6" s="2">
        <v>10</v>
      </c>
      <c r="G6" s="2">
        <v>50</v>
      </c>
      <c r="H6" s="2">
        <f t="shared" ref="H6:H11" si="0">F6*$C$11/1000000</f>
        <v>0.33688000000000001</v>
      </c>
      <c r="I6" s="2">
        <f t="shared" ref="I6:I11" si="1">G6*$C$12/1000000</f>
        <v>0.40500000000000003</v>
      </c>
      <c r="J6" s="2">
        <f t="shared" ref="J6:J11" si="2">H6+I6</f>
        <v>0.74188000000000009</v>
      </c>
      <c r="K6" s="32">
        <f>Table2[[#This Row],[Total Cost per query]]*$C$16</f>
        <v>13.353840000000002</v>
      </c>
    </row>
    <row r="7" spans="2:13" ht="37.5" x14ac:dyDescent="0.3">
      <c r="B7" s="57" t="s">
        <v>33</v>
      </c>
      <c r="C7" s="61">
        <v>16250</v>
      </c>
      <c r="E7" s="31" t="s">
        <v>12</v>
      </c>
      <c r="F7" s="2">
        <v>4</v>
      </c>
      <c r="G7" s="2">
        <v>20</v>
      </c>
      <c r="H7" s="2">
        <f t="shared" si="0"/>
        <v>0.13475200000000001</v>
      </c>
      <c r="I7" s="2">
        <f t="shared" si="1"/>
        <v>0.16200000000000001</v>
      </c>
      <c r="J7" s="2">
        <f t="shared" si="2"/>
        <v>0.29675200000000002</v>
      </c>
      <c r="K7" s="32">
        <f>Table2[[#This Row],[Total Cost per query]]*$C$16</f>
        <v>5.3415360000000005</v>
      </c>
    </row>
    <row r="8" spans="2:13" ht="37.5" x14ac:dyDescent="0.3">
      <c r="B8" s="58" t="s">
        <v>34</v>
      </c>
      <c r="C8" s="61">
        <v>5000</v>
      </c>
      <c r="E8" s="31" t="s">
        <v>13</v>
      </c>
      <c r="F8" s="2">
        <v>2</v>
      </c>
      <c r="G8" s="2">
        <v>12</v>
      </c>
      <c r="H8" s="2">
        <f t="shared" si="0"/>
        <v>6.7376000000000005E-2</v>
      </c>
      <c r="I8" s="2">
        <f t="shared" si="1"/>
        <v>9.7199999999999995E-2</v>
      </c>
      <c r="J8" s="2">
        <f t="shared" si="2"/>
        <v>0.164576</v>
      </c>
      <c r="K8" s="32">
        <f>Table2[[#This Row],[Total Cost per query]]*$C$16</f>
        <v>2.9623680000000001</v>
      </c>
    </row>
    <row r="9" spans="2:13" ht="56.25" x14ac:dyDescent="0.3">
      <c r="B9" s="59" t="s">
        <v>35</v>
      </c>
      <c r="C9" s="61">
        <v>2438</v>
      </c>
      <c r="E9" s="31" t="s">
        <v>41</v>
      </c>
      <c r="F9" s="2">
        <v>4</v>
      </c>
      <c r="G9" s="2">
        <v>20</v>
      </c>
      <c r="H9" s="2">
        <f t="shared" si="0"/>
        <v>0.13475200000000001</v>
      </c>
      <c r="I9" s="2">
        <f t="shared" si="1"/>
        <v>0.16200000000000001</v>
      </c>
      <c r="J9" s="2">
        <f t="shared" si="2"/>
        <v>0.29675200000000002</v>
      </c>
      <c r="K9" s="32">
        <f>Table2[[#This Row],[Total Cost per query]]*$C$16</f>
        <v>5.3415360000000005</v>
      </c>
      <c r="L9" s="1"/>
      <c r="M9" s="1"/>
    </row>
    <row r="10" spans="2:13" ht="37.5" x14ac:dyDescent="0.3">
      <c r="B10" s="60" t="s">
        <v>36</v>
      </c>
      <c r="C10" s="61">
        <v>4000</v>
      </c>
      <c r="E10" s="31" t="s">
        <v>42</v>
      </c>
      <c r="F10" s="2">
        <v>2</v>
      </c>
      <c r="G10" s="2">
        <v>10</v>
      </c>
      <c r="H10" s="2">
        <f t="shared" si="0"/>
        <v>6.7376000000000005E-2</v>
      </c>
      <c r="I10" s="2">
        <f t="shared" si="1"/>
        <v>8.1000000000000003E-2</v>
      </c>
      <c r="J10" s="2">
        <f t="shared" si="2"/>
        <v>0.14837600000000001</v>
      </c>
      <c r="K10" s="32">
        <f>Table2[[#This Row],[Total Cost per query]]*$C$16</f>
        <v>2.6707680000000003</v>
      </c>
      <c r="L10" s="1"/>
      <c r="M10" s="1"/>
    </row>
    <row r="11" spans="2:13" x14ac:dyDescent="0.3">
      <c r="B11" s="24" t="s">
        <v>37</v>
      </c>
      <c r="C11" s="25">
        <f>SUM(C6:C10)</f>
        <v>33688</v>
      </c>
      <c r="E11" s="43" t="s">
        <v>43</v>
      </c>
      <c r="F11" s="67">
        <v>10</v>
      </c>
      <c r="G11" s="67">
        <v>50</v>
      </c>
      <c r="H11" s="2">
        <f t="shared" si="0"/>
        <v>0.33688000000000001</v>
      </c>
      <c r="I11" s="2">
        <f t="shared" si="1"/>
        <v>0.40500000000000003</v>
      </c>
      <c r="J11" s="2">
        <f t="shared" si="2"/>
        <v>0.74188000000000009</v>
      </c>
      <c r="K11" s="32">
        <f>Table2[[#This Row],[Total Cost per query]]*$C$16</f>
        <v>13.353840000000002</v>
      </c>
      <c r="L11" s="1"/>
      <c r="M11" s="1"/>
    </row>
    <row r="12" spans="2:13" x14ac:dyDescent="0.3">
      <c r="B12" s="23" t="s">
        <v>38</v>
      </c>
      <c r="C12" s="56">
        <v>8100</v>
      </c>
    </row>
    <row r="13" spans="2:13" x14ac:dyDescent="0.3">
      <c r="B13" s="24" t="s">
        <v>14</v>
      </c>
      <c r="C13" s="25">
        <f>C11+C12</f>
        <v>41788</v>
      </c>
    </row>
    <row r="14" spans="2:13" ht="37.5" x14ac:dyDescent="0.3">
      <c r="B14" s="62" t="s">
        <v>39</v>
      </c>
      <c r="C14" s="15">
        <v>9</v>
      </c>
    </row>
    <row r="15" spans="2:13" ht="37.5" x14ac:dyDescent="0.3">
      <c r="B15" s="63" t="s">
        <v>40</v>
      </c>
      <c r="C15" s="15">
        <v>2</v>
      </c>
    </row>
    <row r="16" spans="2:13" ht="19.5" thickBot="1" x14ac:dyDescent="0.35">
      <c r="B16" s="26" t="s">
        <v>15</v>
      </c>
      <c r="C16" s="27">
        <f>C14*C15</f>
        <v>18</v>
      </c>
    </row>
    <row r="20" spans="2:3" ht="19.5" thickBot="1" x14ac:dyDescent="0.35"/>
    <row r="21" spans="2:3" x14ac:dyDescent="0.3">
      <c r="B21" s="45" t="s">
        <v>44</v>
      </c>
      <c r="C21" s="46"/>
    </row>
    <row r="22" spans="2:3" x14ac:dyDescent="0.3">
      <c r="B22" s="23" t="s">
        <v>2</v>
      </c>
      <c r="C22" s="15" t="s">
        <v>57</v>
      </c>
    </row>
    <row r="23" spans="2:3" x14ac:dyDescent="0.3">
      <c r="B23" s="64" t="s">
        <v>45</v>
      </c>
      <c r="C23" s="65">
        <v>12.5</v>
      </c>
    </row>
    <row r="24" spans="2:3" x14ac:dyDescent="0.3">
      <c r="B24" s="64" t="s">
        <v>46</v>
      </c>
      <c r="C24" s="65">
        <v>500</v>
      </c>
    </row>
    <row r="25" spans="2:3" x14ac:dyDescent="0.3">
      <c r="B25" s="64" t="s">
        <v>47</v>
      </c>
      <c r="C25" s="65">
        <v>1.3</v>
      </c>
    </row>
    <row r="26" spans="2:3" x14ac:dyDescent="0.3">
      <c r="B26" s="64" t="s">
        <v>48</v>
      </c>
      <c r="C26" s="65">
        <v>6250</v>
      </c>
    </row>
    <row r="27" spans="2:3" x14ac:dyDescent="0.3">
      <c r="B27" s="64" t="s">
        <v>49</v>
      </c>
      <c r="C27" s="65">
        <v>8125</v>
      </c>
    </row>
    <row r="28" spans="2:3" ht="37.5" x14ac:dyDescent="0.3">
      <c r="B28" s="64" t="s">
        <v>50</v>
      </c>
      <c r="C28" s="65">
        <v>2</v>
      </c>
    </row>
    <row r="29" spans="2:3" ht="37.5" x14ac:dyDescent="0.3">
      <c r="B29" s="64" t="s">
        <v>51</v>
      </c>
      <c r="C29" s="65">
        <v>5</v>
      </c>
    </row>
    <row r="30" spans="2:3" ht="37.5" x14ac:dyDescent="0.3">
      <c r="B30" s="64" t="s">
        <v>52</v>
      </c>
      <c r="C30" s="65">
        <v>1200</v>
      </c>
    </row>
    <row r="31" spans="2:3" x14ac:dyDescent="0.3">
      <c r="B31" s="64" t="s">
        <v>53</v>
      </c>
      <c r="C31" s="65">
        <v>5000</v>
      </c>
    </row>
    <row r="32" spans="2:3" ht="37.5" x14ac:dyDescent="0.3">
      <c r="B32" s="64" t="s">
        <v>54</v>
      </c>
      <c r="C32" s="66">
        <v>0.3</v>
      </c>
    </row>
    <row r="33" spans="2:3" ht="37.5" x14ac:dyDescent="0.3">
      <c r="B33" s="64" t="s">
        <v>55</v>
      </c>
      <c r="C33" s="65">
        <v>4000</v>
      </c>
    </row>
    <row r="34" spans="2:3" x14ac:dyDescent="0.3">
      <c r="B34" s="64" t="s">
        <v>56</v>
      </c>
      <c r="C34" s="65">
        <v>8100</v>
      </c>
    </row>
  </sheetData>
  <mergeCells count="3">
    <mergeCell ref="B4:C4"/>
    <mergeCell ref="E4:K4"/>
    <mergeCell ref="B21:C2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C5F12-FF79-6045-8ED9-7C7CBF56FC6E}">
  <dimension ref="C2:J29"/>
  <sheetViews>
    <sheetView topLeftCell="A6" zoomScaleNormal="100" workbookViewId="0">
      <selection activeCell="F16" sqref="F16"/>
    </sheetView>
  </sheetViews>
  <sheetFormatPr defaultColWidth="11.19921875" defaultRowHeight="18.75" x14ac:dyDescent="0.3"/>
  <cols>
    <col min="3" max="3" width="31.296875" bestFit="1" customWidth="1"/>
    <col min="4" max="4" width="18" customWidth="1"/>
    <col min="6" max="6" width="22.296875" bestFit="1" customWidth="1"/>
    <col min="7" max="7" width="15" customWidth="1"/>
    <col min="9" max="9" width="23.3984375" customWidth="1"/>
    <col min="10" max="10" width="14.8984375" customWidth="1"/>
  </cols>
  <sheetData>
    <row r="2" spans="3:10" ht="19.5" thickBot="1" x14ac:dyDescent="0.35"/>
    <row r="3" spans="3:10" ht="24" thickBot="1" x14ac:dyDescent="0.35">
      <c r="C3" s="21" t="s">
        <v>16</v>
      </c>
      <c r="D3" s="22">
        <v>1.3</v>
      </c>
    </row>
    <row r="4" spans="3:10" ht="19.5" thickBot="1" x14ac:dyDescent="0.35"/>
    <row r="5" spans="3:10" ht="20.100000000000001" customHeight="1" x14ac:dyDescent="0.3">
      <c r="C5" s="50" t="s">
        <v>60</v>
      </c>
      <c r="D5" s="51"/>
      <c r="F5" s="52" t="s">
        <v>61</v>
      </c>
      <c r="G5" s="53"/>
      <c r="I5" s="52" t="s">
        <v>62</v>
      </c>
      <c r="J5" s="53"/>
    </row>
    <row r="6" spans="3:10" x14ac:dyDescent="0.3">
      <c r="C6" s="3" t="s">
        <v>17</v>
      </c>
      <c r="D6" s="4" t="s">
        <v>3</v>
      </c>
      <c r="F6" s="3" t="s">
        <v>17</v>
      </c>
      <c r="G6" s="4" t="s">
        <v>3</v>
      </c>
      <c r="I6" s="3" t="s">
        <v>17</v>
      </c>
      <c r="J6" s="4" t="s">
        <v>3</v>
      </c>
    </row>
    <row r="7" spans="3:10" x14ac:dyDescent="0.3">
      <c r="C7" s="5" t="s">
        <v>58</v>
      </c>
      <c r="D7" s="6">
        <v>30</v>
      </c>
      <c r="F7" s="9" t="s">
        <v>63</v>
      </c>
      <c r="G7" s="10">
        <v>20</v>
      </c>
      <c r="I7" s="11" t="s">
        <v>65</v>
      </c>
      <c r="J7" s="6">
        <v>108</v>
      </c>
    </row>
    <row r="8" spans="3:10" x14ac:dyDescent="0.3">
      <c r="C8" s="5" t="s">
        <v>59</v>
      </c>
      <c r="D8" s="6">
        <v>6250</v>
      </c>
      <c r="F8" s="9" t="s">
        <v>64</v>
      </c>
      <c r="G8" s="10">
        <v>200</v>
      </c>
      <c r="I8" s="12" t="s">
        <v>66</v>
      </c>
      <c r="J8" s="6">
        <v>6250</v>
      </c>
    </row>
    <row r="9" spans="3:10" x14ac:dyDescent="0.3">
      <c r="C9" s="5" t="s">
        <v>18</v>
      </c>
      <c r="D9" s="6">
        <f>D7*D8</f>
        <v>187500</v>
      </c>
      <c r="F9" s="9" t="s">
        <v>18</v>
      </c>
      <c r="G9" s="10">
        <f>G8*G7</f>
        <v>4000</v>
      </c>
      <c r="I9" s="11" t="s">
        <v>18</v>
      </c>
      <c r="J9" s="6">
        <f>J8*J7</f>
        <v>675000</v>
      </c>
    </row>
    <row r="10" spans="3:10" ht="19.5" thickBot="1" x14ac:dyDescent="0.35">
      <c r="C10" s="7" t="s">
        <v>19</v>
      </c>
      <c r="D10" s="8">
        <f>D9*D3</f>
        <v>243750</v>
      </c>
      <c r="F10" s="7" t="s">
        <v>20</v>
      </c>
      <c r="G10" s="8">
        <f>G9*D3</f>
        <v>5200</v>
      </c>
      <c r="I10" s="7" t="s">
        <v>20</v>
      </c>
      <c r="J10" s="8">
        <f>J9*D3</f>
        <v>877500</v>
      </c>
    </row>
    <row r="12" spans="3:10" ht="19.5" thickBot="1" x14ac:dyDescent="0.35"/>
    <row r="13" spans="3:10" x14ac:dyDescent="0.3">
      <c r="C13" s="68" t="s">
        <v>70</v>
      </c>
      <c r="D13" s="68"/>
    </row>
    <row r="14" spans="3:10" x14ac:dyDescent="0.3">
      <c r="C14" s="3" t="s">
        <v>17</v>
      </c>
      <c r="D14" s="4" t="s">
        <v>21</v>
      </c>
    </row>
    <row r="15" spans="3:10" x14ac:dyDescent="0.3">
      <c r="C15" s="5" t="s">
        <v>22</v>
      </c>
      <c r="D15" s="6">
        <f>D10+G10+J10</f>
        <v>1126450</v>
      </c>
    </row>
    <row r="16" spans="3:10" x14ac:dyDescent="0.3">
      <c r="C16" s="5" t="s">
        <v>23</v>
      </c>
      <c r="D16" s="6">
        <v>0.13</v>
      </c>
    </row>
    <row r="17" spans="3:4" ht="19.5" thickBot="1" x14ac:dyDescent="0.35">
      <c r="C17" s="13" t="s">
        <v>24</v>
      </c>
      <c r="D17" s="14">
        <f>D15*D16/1000000</f>
        <v>0.1464385</v>
      </c>
    </row>
    <row r="19" spans="3:4" ht="19.5" thickBot="1" x14ac:dyDescent="0.35"/>
    <row r="20" spans="3:4" x14ac:dyDescent="0.3">
      <c r="C20" s="68" t="s">
        <v>67</v>
      </c>
      <c r="D20" s="68"/>
    </row>
    <row r="21" spans="3:4" x14ac:dyDescent="0.3">
      <c r="C21" s="3" t="s">
        <v>17</v>
      </c>
      <c r="D21" s="4" t="s">
        <v>21</v>
      </c>
    </row>
    <row r="22" spans="3:4" x14ac:dyDescent="0.3">
      <c r="C22" s="5" t="s">
        <v>68</v>
      </c>
      <c r="D22" s="15">
        <v>20</v>
      </c>
    </row>
    <row r="23" spans="3:4" x14ac:dyDescent="0.3">
      <c r="C23" s="5" t="s">
        <v>69</v>
      </c>
      <c r="D23" s="6">
        <v>0</v>
      </c>
    </row>
    <row r="24" spans="3:4" x14ac:dyDescent="0.3">
      <c r="C24" s="5" t="s">
        <v>25</v>
      </c>
      <c r="D24" s="6">
        <f>D23*D22</f>
        <v>0</v>
      </c>
    </row>
    <row r="25" spans="3:4" x14ac:dyDescent="0.3">
      <c r="C25" s="16" t="s">
        <v>23</v>
      </c>
      <c r="D25" s="17">
        <v>0.13</v>
      </c>
    </row>
    <row r="26" spans="3:4" ht="19.5" thickBot="1" x14ac:dyDescent="0.35">
      <c r="C26" s="18" t="s">
        <v>26</v>
      </c>
      <c r="D26" s="14">
        <f>D24*D25/1000000</f>
        <v>0</v>
      </c>
    </row>
    <row r="28" spans="3:4" ht="19.5" thickBot="1" x14ac:dyDescent="0.35"/>
    <row r="29" spans="3:4" ht="19.5" thickBot="1" x14ac:dyDescent="0.35">
      <c r="C29" s="19" t="s">
        <v>27</v>
      </c>
      <c r="D29" s="20">
        <f>D17+D26</f>
        <v>0.1464385</v>
      </c>
    </row>
  </sheetData>
  <mergeCells count="5">
    <mergeCell ref="C5:D5"/>
    <mergeCell ref="F5:G5"/>
    <mergeCell ref="I5:J5"/>
    <mergeCell ref="C13:D13"/>
    <mergeCell ref="C20:D20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C5B6-181F-4645-A6EB-4082A9F8A090}">
  <dimension ref="D3:I34"/>
  <sheetViews>
    <sheetView tabSelected="1" topLeftCell="A10" zoomScaleNormal="100" workbookViewId="0">
      <selection activeCell="H17" sqref="H17"/>
    </sheetView>
  </sheetViews>
  <sheetFormatPr defaultColWidth="11.19921875" defaultRowHeight="18.75" x14ac:dyDescent="0.3"/>
  <cols>
    <col min="4" max="4" width="69.3984375" customWidth="1"/>
    <col min="5" max="5" width="15" customWidth="1"/>
    <col min="8" max="8" width="88.8984375" customWidth="1"/>
  </cols>
  <sheetData>
    <row r="3" spans="4:5" x14ac:dyDescent="0.3">
      <c r="D3" s="54" t="s">
        <v>71</v>
      </c>
      <c r="E3" s="54"/>
    </row>
    <row r="4" spans="4:5" x14ac:dyDescent="0.3">
      <c r="D4" s="1" t="s">
        <v>17</v>
      </c>
      <c r="E4" s="1" t="s">
        <v>3</v>
      </c>
    </row>
    <row r="5" spans="4:5" x14ac:dyDescent="0.3">
      <c r="D5" s="1" t="s">
        <v>72</v>
      </c>
      <c r="E5" s="1">
        <v>2</v>
      </c>
    </row>
    <row r="6" spans="4:5" x14ac:dyDescent="0.3">
      <c r="D6" s="1" t="s">
        <v>73</v>
      </c>
      <c r="E6" s="1">
        <v>1</v>
      </c>
    </row>
    <row r="7" spans="4:5" x14ac:dyDescent="0.3">
      <c r="D7" s="1" t="s">
        <v>74</v>
      </c>
      <c r="E7" s="1">
        <v>2</v>
      </c>
    </row>
    <row r="8" spans="4:5" x14ac:dyDescent="0.3">
      <c r="D8" s="1" t="s">
        <v>75</v>
      </c>
      <c r="E8" s="1">
        <v>3</v>
      </c>
    </row>
    <row r="9" spans="4:5" x14ac:dyDescent="0.3">
      <c r="D9" s="1" t="s">
        <v>76</v>
      </c>
      <c r="E9" s="1">
        <v>9</v>
      </c>
    </row>
    <row r="10" spans="4:5" x14ac:dyDescent="0.3">
      <c r="D10" s="1" t="s">
        <v>77</v>
      </c>
      <c r="E10" s="1">
        <f>E8 * E9</f>
        <v>27</v>
      </c>
    </row>
    <row r="13" spans="4:5" x14ac:dyDescent="0.3">
      <c r="D13" s="54" t="s">
        <v>78</v>
      </c>
      <c r="E13" s="54"/>
    </row>
    <row r="14" spans="4:5" x14ac:dyDescent="0.3">
      <c r="D14" s="28" t="s">
        <v>17</v>
      </c>
      <c r="E14" s="38" t="s">
        <v>28</v>
      </c>
    </row>
    <row r="15" spans="4:5" x14ac:dyDescent="0.3">
      <c r="D15" s="69" t="s">
        <v>79</v>
      </c>
      <c r="E15" s="41">
        <v>50</v>
      </c>
    </row>
    <row r="16" spans="4:5" ht="37.5" x14ac:dyDescent="0.3">
      <c r="D16" s="69" t="s">
        <v>80</v>
      </c>
      <c r="E16" s="42">
        <v>480</v>
      </c>
    </row>
    <row r="17" spans="4:9" x14ac:dyDescent="0.3">
      <c r="D17" s="70" t="s">
        <v>81</v>
      </c>
      <c r="E17" s="44">
        <f>E10 * E15</f>
        <v>1350</v>
      </c>
    </row>
    <row r="19" spans="4:9" x14ac:dyDescent="0.3">
      <c r="D19" s="71" t="s">
        <v>82</v>
      </c>
      <c r="E19" s="34">
        <f>E16 + E17</f>
        <v>1830</v>
      </c>
    </row>
    <row r="22" spans="4:9" ht="20.100000000000001" customHeight="1" x14ac:dyDescent="0.3">
      <c r="D22" s="72" t="s">
        <v>83</v>
      </c>
      <c r="E22" s="72"/>
      <c r="H22" s="72" t="s">
        <v>91</v>
      </c>
      <c r="I22" s="72"/>
    </row>
    <row r="23" spans="4:9" x14ac:dyDescent="0.3">
      <c r="D23" s="28" t="s">
        <v>17</v>
      </c>
      <c r="E23" s="38" t="s">
        <v>28</v>
      </c>
      <c r="H23" s="28" t="s">
        <v>17</v>
      </c>
      <c r="I23" s="38" t="s">
        <v>28</v>
      </c>
    </row>
    <row r="24" spans="4:9" ht="27.75" customHeight="1" x14ac:dyDescent="0.3">
      <c r="D24" s="69" t="s">
        <v>90</v>
      </c>
      <c r="E24" s="39">
        <f>Inference!K9</f>
        <v>5.3415360000000005</v>
      </c>
      <c r="H24" s="69" t="s">
        <v>89</v>
      </c>
      <c r="I24" s="39">
        <f>Inference!K8</f>
        <v>2.9623680000000001</v>
      </c>
    </row>
    <row r="25" spans="4:9" ht="29.25" customHeight="1" x14ac:dyDescent="0.3">
      <c r="D25" s="69" t="s">
        <v>84</v>
      </c>
      <c r="E25" s="40">
        <v>0</v>
      </c>
      <c r="H25" s="69" t="s">
        <v>84</v>
      </c>
      <c r="I25" s="40">
        <v>0</v>
      </c>
    </row>
    <row r="26" spans="4:9" ht="23.25" customHeight="1" x14ac:dyDescent="0.3">
      <c r="D26" s="69" t="s">
        <v>85</v>
      </c>
      <c r="E26" s="39">
        <f>E15* Inference!C16 * E27</f>
        <v>450</v>
      </c>
      <c r="H26" s="69" t="s">
        <v>85</v>
      </c>
      <c r="I26" s="39">
        <f>E27 * E15 *Inference!C16</f>
        <v>450</v>
      </c>
    </row>
    <row r="27" spans="4:9" ht="22.5" customHeight="1" x14ac:dyDescent="0.3">
      <c r="D27" s="69" t="s">
        <v>86</v>
      </c>
      <c r="E27" s="74">
        <v>0.5</v>
      </c>
      <c r="H27" s="69" t="s">
        <v>86</v>
      </c>
      <c r="I27" s="74">
        <v>0.5</v>
      </c>
    </row>
    <row r="28" spans="4:9" ht="24" customHeight="1" x14ac:dyDescent="0.3">
      <c r="D28" s="69" t="s">
        <v>87</v>
      </c>
      <c r="E28" s="39">
        <v>240</v>
      </c>
      <c r="H28" s="69" t="s">
        <v>87</v>
      </c>
      <c r="I28" s="39">
        <v>240</v>
      </c>
    </row>
    <row r="29" spans="4:9" x14ac:dyDescent="0.3">
      <c r="D29" s="33" t="s">
        <v>29</v>
      </c>
      <c r="E29" s="34">
        <f>E24+E25+E26+E27+E28</f>
        <v>695.84153600000002</v>
      </c>
      <c r="H29" s="33" t="s">
        <v>29</v>
      </c>
      <c r="I29" s="34">
        <f>I24+I25+I26+I27+I28</f>
        <v>693.46236799999997</v>
      </c>
    </row>
    <row r="32" spans="4:9" x14ac:dyDescent="0.3">
      <c r="D32" s="35" t="s">
        <v>30</v>
      </c>
      <c r="E32" s="36">
        <f>E19-E29</f>
        <v>1134.1584640000001</v>
      </c>
      <c r="H32" s="35" t="s">
        <v>30</v>
      </c>
      <c r="I32" s="36">
        <f>E19-I29</f>
        <v>1136.537632</v>
      </c>
    </row>
    <row r="33" spans="4:9" x14ac:dyDescent="0.3">
      <c r="D33" s="35" t="s">
        <v>31</v>
      </c>
      <c r="E33" s="37">
        <f>E32/E19</f>
        <v>0.61975872349726779</v>
      </c>
      <c r="H33" s="35" t="s">
        <v>31</v>
      </c>
      <c r="I33" s="37">
        <f>I32/E19</f>
        <v>0.62105881530054652</v>
      </c>
    </row>
    <row r="34" spans="4:9" x14ac:dyDescent="0.3">
      <c r="D34" s="35" t="s">
        <v>88</v>
      </c>
      <c r="E34" s="73">
        <f>E10 - E27 *Inference!C16</f>
        <v>18</v>
      </c>
      <c r="H34" s="35" t="s">
        <v>88</v>
      </c>
      <c r="I34" s="73">
        <f>E10 - E27 *Inference!C16</f>
        <v>18</v>
      </c>
    </row>
  </sheetData>
  <mergeCells count="4">
    <mergeCell ref="D13:E13"/>
    <mergeCell ref="D22:E22"/>
    <mergeCell ref="D3:E3"/>
    <mergeCell ref="H22:I22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Inference</vt:lpstr>
      <vt:lpstr>Embeddings</vt:lpstr>
      <vt:lpstr>Cost Savings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Aakash  Pardeshi</dc:creator>
  <cp:keywords/>
  <dc:description/>
  <cp:lastModifiedBy>samson admin</cp:lastModifiedBy>
  <cp:revision/>
  <dcterms:created xsi:type="dcterms:W3CDTF">2026-09-12T10:38:39Z</dcterms:created>
  <dcterms:modified xsi:type="dcterms:W3CDTF">2026-10-17T03:04:41Z</dcterms:modified>
  <cp:category/>
  <cp:contentStatus/>
</cp:coreProperties>
</file>